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aje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Cierre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37352F"/>
      <sz val="10"/>
    </font>
    <font>
      <name val="Noto Sans CJK SC"/>
      <b val="1"/>
      <color rgb="00912D26"/>
      <sz val="10"/>
    </font>
    <font>
      <name val="Noto Sans CJK SC"/>
      <b val="1"/>
      <color rgb="00912D26"/>
      <sz val="14"/>
    </font>
    <font>
      <name val="Noto Sans CJK SC"/>
      <color rgb="0037352F"/>
      <sz val="8"/>
    </font>
    <font>
      <name val="Noto Sans CJK SC"/>
      <b val="1"/>
      <color rgb="00912D26"/>
      <sz val="11"/>
    </font>
    <font>
      <name val="Noto Sans CJK SC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912D26"/>
      </patternFill>
    </fill>
    <fill>
      <patternFill patternType="solid">
        <fgColor rgb="00FEF2F1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thin">
        <color rgb="00912D26"/>
      </bottom>
    </border>
    <border>
      <bottom style="hair">
        <color rgb="00E0E0E0"/>
      </bottom>
    </border>
    <border>
      <top style="medium">
        <color rgb="00912D26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4" fontId="2" fillId="3" borderId="2" applyAlignment="1" pivotButton="0" quotePrefix="0" xfId="0">
      <alignment horizontal="center" vertical="center"/>
    </xf>
    <xf numFmtId="4" fontId="3" fillId="0" borderId="0" pivotButton="0" quotePrefix="0" xfId="0"/>
    <xf numFmtId="0" fontId="2" fillId="4" borderId="2" applyAlignment="1" pivotButton="0" quotePrefix="0" xfId="0">
      <alignment horizontal="center" vertical="center"/>
    </xf>
    <xf numFmtId="4" fontId="2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4" fontId="3" fillId="0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8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Fecha</t>
        </is>
      </c>
      <c r="B1" s="1" t="inlineStr">
        <is>
          <t>VT</t>
        </is>
      </c>
      <c r="C1" s="1" t="inlineStr">
        <is>
          <t>Ayudante</t>
        </is>
      </c>
      <c r="D1" s="1" t="inlineStr">
        <is>
          <t>KM</t>
        </is>
      </c>
      <c r="E1" s="1" t="inlineStr">
        <is>
          <t>Hora</t>
        </is>
      </c>
      <c r="F1" s="1" t="inlineStr">
        <is>
          <t>Dirección</t>
        </is>
      </c>
      <c r="G1" s="1" t="inlineStr">
        <is>
          <t>Recaudado</t>
        </is>
      </c>
      <c r="H1" s="1" t="inlineStr">
        <is>
          <t>Caja Común</t>
        </is>
      </c>
      <c r="I1" s="1" t="inlineStr">
        <is>
          <t>Total</t>
        </is>
      </c>
    </row>
    <row r="2" ht="22" customHeight="1">
      <c r="A2" s="2" t="inlineStr">
        <is>
          <t>2026-08-26</t>
        </is>
      </c>
      <c r="B2" s="2" t="inlineStr">
        <is>
          <t>VT-001</t>
        </is>
      </c>
      <c r="C2" s="2" t="inlineStr">
        <is>
          <t>B. López</t>
        </is>
      </c>
      <c r="D2" s="2" t="inlineStr">
        <is>
          <t>885/160</t>
        </is>
      </c>
      <c r="E2" s="2" t="inlineStr">
        <is>
          <t>10:15</t>
        </is>
      </c>
      <c r="F2" s="2" t="inlineStr">
        <is>
          <t>IDA</t>
        </is>
      </c>
      <c r="G2" s="3" t="n">
        <v>8</v>
      </c>
      <c r="H2" s="3" t="n">
        <v>20</v>
      </c>
      <c r="I2" s="4">
        <f>G2+H2</f>
        <v/>
      </c>
    </row>
    <row r="3" ht="22" customHeight="1">
      <c r="A3" s="5" t="inlineStr">
        <is>
          <t>2026-08-26</t>
        </is>
      </c>
      <c r="B3" s="5" t="inlineStr">
        <is>
          <t>VT-001</t>
        </is>
      </c>
      <c r="C3" s="5" t="inlineStr">
        <is>
          <t>B. López</t>
        </is>
      </c>
      <c r="D3" s="5" t="inlineStr">
        <is>
          <t>885/160</t>
        </is>
      </c>
      <c r="E3" s="5" t="inlineStr">
        <is>
          <t>14:15</t>
        </is>
      </c>
      <c r="F3" s="5" t="inlineStr">
        <is>
          <t>IDA</t>
        </is>
      </c>
      <c r="G3" s="6" t="n">
        <v>55</v>
      </c>
      <c r="H3" s="6" t="n">
        <v>13.15</v>
      </c>
      <c r="I3" s="4">
        <f>G3+H3</f>
        <v/>
      </c>
    </row>
    <row r="4" ht="22" customHeight="1">
      <c r="A4" s="2" t="inlineStr">
        <is>
          <t>2026-08-26</t>
        </is>
      </c>
      <c r="B4" s="2" t="inlineStr">
        <is>
          <t>VT-001</t>
        </is>
      </c>
      <c r="C4" s="2" t="inlineStr">
        <is>
          <t>B. López</t>
        </is>
      </c>
      <c r="D4" s="2" t="inlineStr">
        <is>
          <t>885/160</t>
        </is>
      </c>
      <c r="E4" s="2" t="inlineStr">
        <is>
          <t>19:45</t>
        </is>
      </c>
      <c r="F4" s="2" t="inlineStr">
        <is>
          <t>IDA</t>
        </is>
      </c>
      <c r="G4" s="3" t="n">
        <v>21.75</v>
      </c>
      <c r="H4" s="3" t="n">
        <v>3.4</v>
      </c>
      <c r="I4" s="4">
        <f>G4+H4</f>
        <v/>
      </c>
    </row>
    <row r="5" ht="22" customHeight="1">
      <c r="A5" s="5" t="inlineStr">
        <is>
          <t>2026-08-26</t>
        </is>
      </c>
      <c r="B5" s="5" t="inlineStr">
        <is>
          <t>VT-001</t>
        </is>
      </c>
      <c r="C5" s="5" t="inlineStr">
        <is>
          <t>B. López</t>
        </is>
      </c>
      <c r="D5" s="5" t="inlineStr">
        <is>
          <t>885/160</t>
        </is>
      </c>
      <c r="E5" s="5" t="inlineStr">
        <is>
          <t>08:20</t>
        </is>
      </c>
      <c r="F5" s="5" t="inlineStr">
        <is>
          <t>VUELTA</t>
        </is>
      </c>
      <c r="G5" s="6" t="n">
        <v>25</v>
      </c>
      <c r="H5" s="6" t="n">
        <v>0</v>
      </c>
      <c r="I5" s="4">
        <f>G5+H5</f>
        <v/>
      </c>
    </row>
    <row r="6" ht="22" customHeight="1">
      <c r="A6" s="2" t="inlineStr">
        <is>
          <t>2026-08-26</t>
        </is>
      </c>
      <c r="B6" s="2" t="inlineStr">
        <is>
          <t>VT-001</t>
        </is>
      </c>
      <c r="C6" s="2" t="inlineStr">
        <is>
          <t>B. López</t>
        </is>
      </c>
      <c r="D6" s="2" t="inlineStr">
        <is>
          <t>885/160</t>
        </is>
      </c>
      <c r="E6" s="2" t="inlineStr">
        <is>
          <t>16:30</t>
        </is>
      </c>
      <c r="F6" s="2" t="inlineStr">
        <is>
          <t>VUELTA</t>
        </is>
      </c>
      <c r="G6" s="3" t="n">
        <v>75</v>
      </c>
      <c r="H6" s="3" t="n">
        <v>0</v>
      </c>
      <c r="I6" s="4">
        <f>G6+H6</f>
        <v/>
      </c>
    </row>
    <row r="7" ht="22" customHeight="1">
      <c r="A7" s="5" t="inlineStr">
        <is>
          <t>2026-08-26</t>
        </is>
      </c>
      <c r="B7" s="5" t="inlineStr">
        <is>
          <t>VT-001</t>
        </is>
      </c>
      <c r="C7" s="5" t="inlineStr">
        <is>
          <t>B. López</t>
        </is>
      </c>
      <c r="D7" s="5" t="inlineStr">
        <is>
          <t>885/160</t>
        </is>
      </c>
      <c r="E7" s="5" t="inlineStr">
        <is>
          <t>19:15</t>
        </is>
      </c>
      <c r="F7" s="5" t="inlineStr">
        <is>
          <t>VUELTA</t>
        </is>
      </c>
      <c r="G7" s="6" t="n">
        <v>35.5</v>
      </c>
      <c r="H7" s="6" t="n">
        <v>0</v>
      </c>
      <c r="I7" s="4">
        <f>G7+H7</f>
        <v/>
      </c>
    </row>
    <row r="8" ht="26" customHeight="1">
      <c r="E8" s="7" t="inlineStr">
        <is>
          <t>TOTALES</t>
        </is>
      </c>
      <c r="G8" s="8">
        <f>SUM(G2:G7)</f>
        <v/>
      </c>
      <c r="H8" s="8">
        <f>SUM(H2:H7)</f>
        <v/>
      </c>
      <c r="I8" s="8">
        <f>SUM(I2:I7)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</cols>
  <sheetData>
    <row r="1" ht="28" customHeight="1">
      <c r="A1" s="9" t="inlineStr">
        <is>
          <t>Fecha</t>
        </is>
      </c>
      <c r="B1" s="9" t="inlineStr">
        <is>
          <t>Concepto</t>
        </is>
      </c>
      <c r="C1" s="9" t="inlineStr">
        <is>
          <t>Monto</t>
        </is>
      </c>
    </row>
    <row r="2" ht="22" customHeight="1">
      <c r="A2" s="2" t="inlineStr">
        <is>
          <t>2026-08-26</t>
        </is>
      </c>
      <c r="B2" s="2" t="inlineStr">
        <is>
          <t>Chofer</t>
        </is>
      </c>
      <c r="C2" s="3" t="n">
        <v>30</v>
      </c>
    </row>
    <row r="3" ht="22" customHeight="1">
      <c r="A3" s="5" t="inlineStr">
        <is>
          <t>2026-08-26</t>
        </is>
      </c>
      <c r="B3" s="5" t="inlineStr">
        <is>
          <t>Ayudante</t>
        </is>
      </c>
      <c r="C3" s="6" t="n">
        <v>20</v>
      </c>
    </row>
    <row r="4" ht="22" customHeight="1">
      <c r="A4" s="2" t="inlineStr">
        <is>
          <t>2026-08-26</t>
        </is>
      </c>
      <c r="B4" s="2" t="inlineStr">
        <is>
          <t>Diesel</t>
        </is>
      </c>
      <c r="C4" s="3" t="n">
        <v>100.75</v>
      </c>
    </row>
    <row r="5" ht="22" customHeight="1">
      <c r="A5" s="5" t="inlineStr">
        <is>
          <t>2026-08-26</t>
        </is>
      </c>
      <c r="B5" s="5" t="inlineStr">
        <is>
          <t>Plan Renova</t>
        </is>
      </c>
      <c r="C5" s="6" t="n">
        <v>68</v>
      </c>
    </row>
    <row r="6" ht="22" customHeight="1">
      <c r="A6" s="2" t="inlineStr">
        <is>
          <t>2026-08-26</t>
        </is>
      </c>
      <c r="B6" s="2" t="inlineStr">
        <is>
          <t>Fundas</t>
        </is>
      </c>
      <c r="C6" s="3" t="n">
        <v>6.5</v>
      </c>
    </row>
    <row r="7" ht="26" customHeight="1">
      <c r="B7" s="7" t="inlineStr">
        <is>
          <t>TOTAL GASTOS</t>
        </is>
      </c>
      <c r="C7" s="8">
        <f>SUM(C2:C6)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</cols>
  <sheetData>
    <row r="1" ht="28" customHeight="1">
      <c r="A1" s="9" t="inlineStr">
        <is>
          <t>Fecha</t>
        </is>
      </c>
      <c r="B1" s="9" t="inlineStr">
        <is>
          <t>VT</t>
        </is>
      </c>
      <c r="C1" s="9" t="inlineStr">
        <is>
          <t>Tickets</t>
        </is>
      </c>
      <c r="D1" s="9" t="inlineStr">
        <is>
          <t>Sobrante</t>
        </is>
      </c>
    </row>
    <row r="2" ht="22" customHeight="1">
      <c r="A2" s="10" t="inlineStr">
        <is>
          <t>2026-08-26</t>
        </is>
      </c>
      <c r="B2" s="10" t="inlineStr">
        <is>
          <t>VT-001</t>
        </is>
      </c>
      <c r="C2" s="11" t="n">
        <v>4.6</v>
      </c>
      <c r="D2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 ht="20" customHeight="1">
      <c r="B1" s="12" t="inlineStr">
        <is>
          <t>PLANTILLA DE CARGA HISTORICA - RUTAGO</t>
        </is>
      </c>
    </row>
    <row r="2" ht="20" customHeight="1">
      <c r="B2" s="13" t="inlineStr"/>
    </row>
    <row r="3" ht="20" customHeight="1">
      <c r="B3" s="14" t="inlineStr">
        <is>
          <t>REGLAS:</t>
        </is>
      </c>
    </row>
    <row r="4" ht="20" customHeight="1">
      <c r="B4" s="15" t="inlineStr">
        <is>
          <t>1. La Fecha vincula las 3 hojas (Viajes + Gastos + Cierre). Mismo dia = mismo arqueo.</t>
        </is>
      </c>
    </row>
    <row r="5" ht="20" customHeight="1">
      <c r="B5" s="15" t="inlineStr">
        <is>
          <t>2. Columna 'Total' en Viajes se calcula automaticamente (Recaudado + Caja Comun). No editar.</t>
        </is>
      </c>
    </row>
    <row r="6" ht="20" customHeight="1">
      <c r="B6" s="15" t="inlineStr">
        <is>
          <t>3. Desde JUNIO 2026 en IDA: Caja Común = lo vendido en oficina Loja. Total = Recaudado + Caja Común.</t>
        </is>
      </c>
    </row>
    <row r="7" ht="20" customHeight="1">
      <c r="B7" s="15" t="inlineStr">
        <is>
          <t>4. Desde JUNIO 2026 en VUELTA: Caja Común = 0.00. Solo importa el Recaudado del ayudante.</t>
        </is>
      </c>
    </row>
    <row r="8" ht="20" customHeight="1">
      <c r="B8" s="15" t="inlineStr">
        <is>
          <t>5. ANTES de junio 2026 (IDA y VUELTA): Caja Común = 0.00. Solo importa el Recaudado.</t>
        </is>
      </c>
    </row>
    <row r="9" ht="20" customHeight="1">
      <c r="B9" s="15" t="inlineStr">
        <is>
          <t>6. Los datos se guardan en la misma BD que el arqueo general de la app.</t>
        </is>
      </c>
    </row>
    <row r="10" ht="20" customHeight="1">
      <c r="B10" s="13" t="inlineStr"/>
    </row>
    <row r="11" ht="20" customHeight="1">
      <c r="B11" s="14" t="inlineStr">
        <is>
          <t>HOJAS:</t>
        </is>
      </c>
    </row>
    <row r="12" ht="20" customHeight="1">
      <c r="B12" s="15" t="inlineStr">
        <is>
          <t>- Viajes: Una fila por frecuencia. Fecha, VT, Ayudante, KM, Hora, Dirección, Recaudado, Caja Común.</t>
        </is>
      </c>
    </row>
    <row r="13" ht="20" customHeight="1">
      <c r="B13" s="15" t="inlineStr">
        <is>
          <t>- Gastos: Una fila por gasto del día. Fecha, Concepto, Monto.</t>
        </is>
      </c>
    </row>
    <row r="14" ht="20" customHeight="1">
      <c r="B14" s="15" t="inlineStr">
        <is>
          <t>- Cierre: Una fila por día. Fecha, VT, Tickets, Sobrante.</t>
        </is>
      </c>
    </row>
    <row r="15" ht="20" customHeight="1">
      <c r="B15" s="13" t="inlineStr"/>
    </row>
    <row r="16" ht="20" customHeight="1">
      <c r="B16" s="16" t="inlineStr">
        <is>
          <t>IMPORTANTE: Verifica los valores de ejemplo con tu libreta original antes de usarlos como referencia.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2026-08-30T01:15:39Z</dcterms:created>
  <dcterms:modified xmlns:dcterms="http://purl.org/dc/terms/" xmlns:xsi="http://www.w3.org/2001/XMLSchema-instance" xsi:type="dcterms:W3CDTF">2026-08-30T01:15:39Z</dcterms:modified>
</cp:coreProperties>
</file>